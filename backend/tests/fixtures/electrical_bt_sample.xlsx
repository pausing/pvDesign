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ergioGonzálezSolis\Downloads\O&amp;M\"/>
    </mc:Choice>
  </mc:AlternateContent>
  <xr:revisionPtr revIDLastSave="0" documentId="13_ncr:1_{D6F5677A-CB54-428B-B7D6-83B787971EC1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Electrical Configuration" sheetId="1" r:id="rId1"/>
  </sheets>
  <definedNames>
    <definedName name="_xlnm._FilterDatabase" localSheetId="0" hidden="1">'Electrical Configuration'!$A$1:$Q$36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1" i="1" l="1"/>
  <c r="P32" i="1"/>
  <c r="P33" i="1"/>
  <c r="P34" i="1"/>
  <c r="P35" i="1"/>
  <c r="P36" i="1"/>
  <c r="P37" i="1"/>
  <c r="L36" i="1"/>
  <c r="L37" i="1"/>
  <c r="L33" i="1"/>
  <c r="K34" i="1"/>
  <c r="L34" i="1" s="1"/>
  <c r="K35" i="1"/>
  <c r="L35" i="1" s="1"/>
  <c r="K36" i="1"/>
  <c r="K37" i="1"/>
  <c r="K32" i="1"/>
  <c r="K33" i="1"/>
  <c r="I34" i="1"/>
  <c r="I35" i="1"/>
  <c r="I33" i="1"/>
  <c r="I37" i="1"/>
  <c r="I36" i="1"/>
  <c r="E37" i="1"/>
  <c r="E36" i="1"/>
  <c r="E35" i="1"/>
  <c r="E34" i="1"/>
  <c r="C37" i="1"/>
  <c r="J37" i="1" s="1"/>
  <c r="C36" i="1"/>
  <c r="J36" i="1"/>
  <c r="C35" i="1"/>
  <c r="J35" i="1"/>
  <c r="C34" i="1"/>
  <c r="J34" i="1"/>
  <c r="O34" i="1"/>
  <c r="I32" i="1"/>
  <c r="L32" i="1"/>
  <c r="E33" i="1"/>
  <c r="E32" i="1"/>
  <c r="C33" i="1"/>
  <c r="J33" i="1" s="1"/>
  <c r="C32" i="1"/>
  <c r="J32" i="1" s="1"/>
  <c r="P30" i="1"/>
  <c r="P29" i="1"/>
  <c r="P28" i="1"/>
  <c r="I31" i="1"/>
  <c r="K31" i="1"/>
  <c r="L31" i="1"/>
  <c r="I30" i="1"/>
  <c r="K30" i="1"/>
  <c r="L30" i="1" s="1"/>
  <c r="E31" i="1"/>
  <c r="E30" i="1"/>
  <c r="C31" i="1"/>
  <c r="C30" i="1"/>
  <c r="I29" i="1"/>
  <c r="K29" i="1"/>
  <c r="L29" i="1" s="1"/>
  <c r="I28" i="1"/>
  <c r="K28" i="1"/>
  <c r="L28" i="1" s="1"/>
  <c r="E29" i="1"/>
  <c r="E28" i="1"/>
  <c r="C29" i="1"/>
  <c r="C28" i="1"/>
  <c r="P27" i="1"/>
  <c r="P26" i="1"/>
  <c r="I27" i="1"/>
  <c r="K27" i="1"/>
  <c r="L27" i="1" s="1"/>
  <c r="I26" i="1"/>
  <c r="K26" i="1"/>
  <c r="L26" i="1" s="1"/>
  <c r="E27" i="1"/>
  <c r="E26" i="1"/>
  <c r="C27" i="1"/>
  <c r="J27" i="1" s="1"/>
  <c r="C26" i="1"/>
  <c r="O26" i="1" s="1"/>
  <c r="P25" i="1"/>
  <c r="P24" i="1"/>
  <c r="I25" i="1"/>
  <c r="K25" i="1"/>
  <c r="L25" i="1" s="1"/>
  <c r="I24" i="1"/>
  <c r="K24" i="1"/>
  <c r="L24" i="1" s="1"/>
  <c r="E25" i="1"/>
  <c r="E24" i="1"/>
  <c r="C25" i="1"/>
  <c r="J25" i="1" s="1"/>
  <c r="C24" i="1"/>
  <c r="P23" i="1"/>
  <c r="I23" i="1"/>
  <c r="K23" i="1"/>
  <c r="L23" i="1" s="1"/>
  <c r="I22" i="1"/>
  <c r="K22" i="1"/>
  <c r="L22" i="1" s="1"/>
  <c r="P22" i="1" s="1"/>
  <c r="E23" i="1"/>
  <c r="C23" i="1"/>
  <c r="E22" i="1"/>
  <c r="C22" i="1"/>
  <c r="I21" i="1"/>
  <c r="K21" i="1"/>
  <c r="L21" i="1"/>
  <c r="P21" i="1" s="1"/>
  <c r="I20" i="1"/>
  <c r="K20" i="1"/>
  <c r="L20" i="1" s="1"/>
  <c r="P20" i="1" s="1"/>
  <c r="E21" i="1"/>
  <c r="E20" i="1"/>
  <c r="C21" i="1"/>
  <c r="C20" i="1"/>
  <c r="K19" i="1"/>
  <c r="L19" i="1" s="1"/>
  <c r="I19" i="1"/>
  <c r="E19" i="1"/>
  <c r="C19" i="1"/>
  <c r="K18" i="1"/>
  <c r="L18" i="1" s="1"/>
  <c r="P18" i="1" s="1"/>
  <c r="I18" i="1"/>
  <c r="E18" i="1"/>
  <c r="C18" i="1"/>
  <c r="I17" i="1"/>
  <c r="K17" i="1"/>
  <c r="L17" i="1" s="1"/>
  <c r="P17" i="1" s="1"/>
  <c r="I16" i="1"/>
  <c r="K16" i="1"/>
  <c r="L16" i="1" s="1"/>
  <c r="P16" i="1" s="1"/>
  <c r="I15" i="1"/>
  <c r="K15" i="1"/>
  <c r="L15" i="1" s="1"/>
  <c r="P15" i="1" s="1"/>
  <c r="I14" i="1"/>
  <c r="K14" i="1"/>
  <c r="L14" i="1" s="1"/>
  <c r="P14" i="1" s="1"/>
  <c r="E17" i="1"/>
  <c r="E16" i="1"/>
  <c r="E15" i="1"/>
  <c r="E14" i="1"/>
  <c r="C17" i="1"/>
  <c r="C16" i="1"/>
  <c r="C15" i="1"/>
  <c r="C14" i="1"/>
  <c r="E13" i="1"/>
  <c r="C13" i="1"/>
  <c r="I13" i="1"/>
  <c r="K13" i="1"/>
  <c r="L13" i="1" s="1"/>
  <c r="P13" i="1" s="1"/>
  <c r="I12" i="1"/>
  <c r="K12" i="1"/>
  <c r="L12" i="1" s="1"/>
  <c r="P12" i="1" s="1"/>
  <c r="E12" i="1"/>
  <c r="C12" i="1"/>
  <c r="K11" i="1"/>
  <c r="L11" i="1" s="1"/>
  <c r="P11" i="1" s="1"/>
  <c r="I11" i="1"/>
  <c r="E11" i="1"/>
  <c r="C11" i="1"/>
  <c r="K10" i="1"/>
  <c r="L10" i="1" s="1"/>
  <c r="P10" i="1" s="1"/>
  <c r="K9" i="1"/>
  <c r="L9" i="1" s="1"/>
  <c r="P9" i="1" s="1"/>
  <c r="K8" i="1"/>
  <c r="L8" i="1" s="1"/>
  <c r="P8" i="1" s="1"/>
  <c r="K7" i="1"/>
  <c r="L7" i="1" s="1"/>
  <c r="P7" i="1" s="1"/>
  <c r="K6" i="1"/>
  <c r="L6" i="1" s="1"/>
  <c r="P6" i="1" s="1"/>
  <c r="K5" i="1"/>
  <c r="L5" i="1" s="1"/>
  <c r="P5" i="1" s="1"/>
  <c r="K4" i="1"/>
  <c r="L4" i="1" s="1"/>
  <c r="P4" i="1" s="1"/>
  <c r="I9" i="1"/>
  <c r="I8" i="1"/>
  <c r="I7" i="1"/>
  <c r="I6" i="1"/>
  <c r="I5" i="1"/>
  <c r="I4" i="1"/>
  <c r="I3" i="1"/>
  <c r="K3" i="1"/>
  <c r="L3" i="1" s="1"/>
  <c r="P3" i="1" s="1"/>
  <c r="K2" i="1"/>
  <c r="L2" i="1" s="1"/>
  <c r="P2" i="1" s="1"/>
  <c r="I2" i="1"/>
  <c r="E10" i="1"/>
  <c r="E3" i="1"/>
  <c r="E4" i="1"/>
  <c r="E5" i="1"/>
  <c r="E6" i="1"/>
  <c r="E7" i="1"/>
  <c r="E8" i="1"/>
  <c r="E9" i="1"/>
  <c r="C3" i="1"/>
  <c r="C4" i="1"/>
  <c r="C5" i="1"/>
  <c r="C6" i="1"/>
  <c r="C7" i="1"/>
  <c r="J18" i="1" s="1"/>
  <c r="C8" i="1"/>
  <c r="C9" i="1"/>
  <c r="C10" i="1"/>
  <c r="C2" i="1"/>
  <c r="E2" i="1"/>
  <c r="M36" i="1" l="1"/>
  <c r="M35" i="1"/>
  <c r="M34" i="1"/>
  <c r="O37" i="1"/>
  <c r="M37" i="1"/>
  <c r="O36" i="1"/>
  <c r="O35" i="1"/>
  <c r="O33" i="1"/>
  <c r="M33" i="1"/>
  <c r="O32" i="1"/>
  <c r="M32" i="1"/>
  <c r="J28" i="1"/>
  <c r="M28" i="1"/>
  <c r="M26" i="1"/>
  <c r="J29" i="1"/>
  <c r="J31" i="1"/>
  <c r="J26" i="1"/>
  <c r="M29" i="1"/>
  <c r="J30" i="1"/>
  <c r="O31" i="1"/>
  <c r="M31" i="1"/>
  <c r="O30" i="1"/>
  <c r="M30" i="1"/>
  <c r="O29" i="1"/>
  <c r="O28" i="1"/>
  <c r="O27" i="1"/>
  <c r="M27" i="1"/>
  <c r="M24" i="1"/>
  <c r="O25" i="1"/>
  <c r="M25" i="1"/>
  <c r="J21" i="1"/>
  <c r="J24" i="1"/>
  <c r="O14" i="1"/>
  <c r="O24" i="1"/>
  <c r="J23" i="1"/>
  <c r="J20" i="1"/>
  <c r="M21" i="1"/>
  <c r="O21" i="1"/>
  <c r="J22" i="1"/>
  <c r="O23" i="1"/>
  <c r="M23" i="1"/>
  <c r="O22" i="1"/>
  <c r="M22" i="1"/>
  <c r="O20" i="1"/>
  <c r="M20" i="1"/>
  <c r="O10" i="1"/>
  <c r="O19" i="1"/>
  <c r="O18" i="1"/>
  <c r="P19" i="1"/>
  <c r="M18" i="1"/>
  <c r="J19" i="1"/>
  <c r="M19" i="1"/>
  <c r="J16" i="1"/>
  <c r="M16" i="1"/>
  <c r="J17" i="1"/>
  <c r="J14" i="1"/>
  <c r="M14" i="1"/>
  <c r="J15" i="1"/>
  <c r="O17" i="1"/>
  <c r="M17" i="1"/>
  <c r="O16" i="1"/>
  <c r="O15" i="1"/>
  <c r="M15" i="1"/>
  <c r="O11" i="1"/>
  <c r="O13" i="1"/>
  <c r="M13" i="1"/>
  <c r="M12" i="1"/>
  <c r="O12" i="1"/>
  <c r="M11" i="1"/>
  <c r="I10" i="1"/>
  <c r="J12" i="1" s="1"/>
  <c r="M7" i="1"/>
  <c r="M10" i="1"/>
  <c r="J8" i="1"/>
  <c r="M9" i="1"/>
  <c r="O6" i="1"/>
  <c r="M6" i="1"/>
  <c r="J9" i="1"/>
  <c r="O5" i="1"/>
  <c r="J5" i="1"/>
  <c r="O7" i="1"/>
  <c r="J7" i="1"/>
  <c r="J6" i="1"/>
  <c r="M4" i="1"/>
  <c r="O8" i="1"/>
  <c r="M8" i="1"/>
  <c r="M5" i="1"/>
  <c r="O4" i="1"/>
  <c r="O2" i="1"/>
  <c r="O3" i="1"/>
  <c r="J4" i="1"/>
  <c r="J2" i="1"/>
  <c r="J3" i="1"/>
  <c r="M2" i="1"/>
  <c r="O9" i="1"/>
  <c r="J10" i="1"/>
  <c r="M3" i="1"/>
  <c r="J13" i="1" l="1"/>
  <c r="J11" i="1"/>
</calcChain>
</file>

<file path=xl/sharedStrings.xml><?xml version="1.0" encoding="utf-8"?>
<sst xmlns="http://schemas.openxmlformats.org/spreadsheetml/2006/main" count="53" uniqueCount="20">
  <si>
    <t>ITS</t>
  </si>
  <si>
    <t>Inv</t>
  </si>
  <si>
    <t>Module Manufac.</t>
  </si>
  <si>
    <t>Module Power [W]</t>
  </si>
  <si>
    <t>Strings (Inv)</t>
  </si>
  <si>
    <t>Strings (ITS)</t>
  </si>
  <si>
    <t>Nº Modules</t>
  </si>
  <si>
    <t>Pot DC [kWp] (Inv)</t>
  </si>
  <si>
    <t>Pot DC [kWp] (ITS)</t>
  </si>
  <si>
    <t>Pot AC [kVA] (Inv)</t>
  </si>
  <si>
    <t>Pot AC [kVA] (ITS)</t>
  </si>
  <si>
    <t>Ratio</t>
  </si>
  <si>
    <t>ITS id</t>
  </si>
  <si>
    <t>Inverter id</t>
  </si>
  <si>
    <t>Subpark</t>
  </si>
  <si>
    <t>SCB</t>
  </si>
  <si>
    <t>CHINT</t>
  </si>
  <si>
    <t>Trackers 1Vx87</t>
  </si>
  <si>
    <t>SUNTECH</t>
  </si>
  <si>
    <t>GCL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</si>
</sst>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4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"/>
  <sheetViews>
    <sheetView showGridLines="0" tabSelected="1" topLeftCell="E1" workbookViewId="0">
      <pane ySplit="1" topLeftCell="A2" activePane="bottomLeft" state="frozen"/>
      <selection pane="bottomLeft" activeCell="E1" sqref="E1"/>
    </sheetView>
  </sheetViews>
  <sheetFormatPr baseColWidth="10" defaultColWidth="8.77734375" defaultRowHeight="14.4" x14ac:dyDescent="0.3"/>
  <cols>
    <col min="1" max="1" width="8.44140625" bestFit="1" customWidth="1"/>
    <col min="2" max="2" width="8.77734375" bestFit="1" customWidth="1"/>
    <col min="3" max="3" width="8.77734375" customWidth="1"/>
    <col min="4" max="4" width="8.6640625" bestFit="1" customWidth="1"/>
    <col min="5" max="5" width="14.44140625" bestFit="1" customWidth="1"/>
    <col min="6" max="6" width="19.77734375" bestFit="1" customWidth="1"/>
    <col min="7" max="7" width="17.6640625" bestFit="1" customWidth="1"/>
    <col min="8" max="8" width="13.44140625" customWidth="1"/>
    <col min="9" max="9" width="16" bestFit="1" customWidth="1"/>
    <col min="10" max="10" width="16.109375" bestFit="1" customWidth="1"/>
    <col min="11" max="11" width="15.109375" bestFit="1" customWidth="1"/>
    <col min="12" max="13" width="16.6640625" bestFit="1" customWidth="1"/>
    <col min="14" max="15" width="16.44140625" bestFit="1" customWidth="1"/>
    <col min="16" max="16" width="10.33203125" bestFit="1" customWidth="1"/>
    <col min="17" max="17" width="9.6640625" bestFit="1" customWidth="1"/>
  </cols>
  <sheetData>
    <row r="1" spans="1:17" ht="30" customHeight="1" x14ac:dyDescent="0.3">
      <c r="A1" s="1" t="s">
        <v>14</v>
      </c>
      <c r="B1" s="1" t="s">
        <v>0</v>
      </c>
      <c r="C1" s="1" t="s">
        <v>12</v>
      </c>
      <c r="D1" s="1" t="s">
        <v>1</v>
      </c>
      <c r="E1" s="1" t="s">
        <v>13</v>
      </c>
      <c r="F1" s="1" t="s">
        <v>2</v>
      </c>
      <c r="G1" s="1" t="s">
        <v>3</v>
      </c>
      <c r="H1" s="1" t="s">
        <v>17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15</v>
      </c>
    </row>
    <row r="2" spans="1:17" x14ac:dyDescent="0.3">
      <c r="A2" s="2">
        <v>1</v>
      </c>
      <c r="B2" s="2">
        <v>1</v>
      </c>
      <c r="C2" s="2" t="str">
        <f>+"ITS "&amp;A2&amp;"-"&amp;B2</f>
        <v>ITS 1-1</v>
      </c>
      <c r="D2" s="2">
        <v>1</v>
      </c>
      <c r="E2" s="2" t="str">
        <f>+A2&amp;"-"&amp;B2&amp;"-"&amp;D2</f>
        <v>1-1-1</v>
      </c>
      <c r="F2" s="3" t="s">
        <v>16</v>
      </c>
      <c r="G2" s="2">
        <v>345</v>
      </c>
      <c r="H2" s="2">
        <v>133</v>
      </c>
      <c r="I2" s="2">
        <f>+H2*3</f>
        <v>399</v>
      </c>
      <c r="J2" s="2">
        <f>SUMIF($C$2:$C$36,C2,$I$2:$I$36)</f>
        <v>888</v>
      </c>
      <c r="K2" s="2">
        <f>+H2*87</f>
        <v>11571</v>
      </c>
      <c r="L2" s="4">
        <f>+G2*K2/1000</f>
        <v>3991.9949999999999</v>
      </c>
      <c r="M2" s="4">
        <f>SUMIF($C$2:$C$36,C2,$L$2:$L$36)</f>
        <v>8884.4399999999987</v>
      </c>
      <c r="N2" s="2">
        <v>3682</v>
      </c>
      <c r="O2" s="2">
        <f>SUMIF($C$2:$C$36,C2,$N$2:$N$36)</f>
        <v>7364</v>
      </c>
      <c r="P2" s="5">
        <f>+L2/N2</f>
        <v>1.0841920152091253</v>
      </c>
      <c r="Q2" s="2"/>
    </row>
    <row r="3" spans="1:17" x14ac:dyDescent="0.3">
      <c r="A3" s="2">
        <v>1</v>
      </c>
      <c r="B3" s="2">
        <v>1</v>
      </c>
      <c r="C3" s="2" t="str">
        <f t="shared" ref="C3:C10" si="0">+"ITS "&amp;A3&amp;"-"&amp;B3</f>
        <v>ITS 1-1</v>
      </c>
      <c r="D3" s="2">
        <v>2</v>
      </c>
      <c r="E3" s="2" t="str">
        <f t="shared" ref="E3:E9" si="1">+A3&amp;"-"&amp;B3&amp;"-"&amp;D3</f>
        <v>1-1-2</v>
      </c>
      <c r="F3" s="3" t="s">
        <v>16</v>
      </c>
      <c r="G3" s="2">
        <v>345</v>
      </c>
      <c r="H3" s="2">
        <v>163</v>
      </c>
      <c r="I3" s="2">
        <f t="shared" ref="I3:I35" si="2">+H3*3</f>
        <v>489</v>
      </c>
      <c r="J3" s="2">
        <f>SUMIF($C$2:$C$36,C3,$I$2:$I$36)</f>
        <v>888</v>
      </c>
      <c r="K3" s="2">
        <f>+H3*87</f>
        <v>14181</v>
      </c>
      <c r="L3" s="4">
        <f>+G3*K3/1000</f>
        <v>4892.4449999999997</v>
      </c>
      <c r="M3" s="4">
        <f>SUMIF($C$2:$C$36,C3,$L$2:$L$36)</f>
        <v>8884.4399999999987</v>
      </c>
      <c r="N3" s="2">
        <v>3682</v>
      </c>
      <c r="O3" s="2">
        <f>SUMIF($C$2:$C$36,C3,$N$2:$N$36)</f>
        <v>7364</v>
      </c>
      <c r="P3" s="5">
        <f t="shared" ref="P3:P9" si="3">+L3/N3</f>
        <v>1.3287466051059207</v>
      </c>
      <c r="Q3" s="2"/>
    </row>
    <row r="4" spans="1:17" x14ac:dyDescent="0.3">
      <c r="A4" s="2">
        <v>2</v>
      </c>
      <c r="B4" s="2">
        <v>2</v>
      </c>
      <c r="C4" s="2" t="str">
        <f t="shared" si="0"/>
        <v>ITS 2-2</v>
      </c>
      <c r="D4" s="2">
        <v>1</v>
      </c>
      <c r="E4" s="2" t="str">
        <f t="shared" si="1"/>
        <v>2-2-1</v>
      </c>
      <c r="F4" s="3" t="s">
        <v>16</v>
      </c>
      <c r="G4" s="2">
        <v>345</v>
      </c>
      <c r="H4" s="2">
        <v>117</v>
      </c>
      <c r="I4" s="2">
        <f t="shared" si="2"/>
        <v>351</v>
      </c>
      <c r="J4" s="2">
        <f>SUMIF($C$2:$C$36,C4,$I$2:$I$36)</f>
        <v>885</v>
      </c>
      <c r="K4" s="2">
        <f t="shared" ref="K4:K10" si="4">+H4*87</f>
        <v>10179</v>
      </c>
      <c r="L4" s="4">
        <f t="shared" ref="L4:L10" si="5">+G4*K4/1000</f>
        <v>3511.7550000000001</v>
      </c>
      <c r="M4" s="4">
        <f>SUMIF($C$2:$C$36,C4,$L$2:$L$36)</f>
        <v>8854.4249999999993</v>
      </c>
      <c r="N4" s="2">
        <v>3682</v>
      </c>
      <c r="O4" s="2">
        <f>SUMIF($C$2:$C$36,C4,$N$2:$N$36)</f>
        <v>7364</v>
      </c>
      <c r="P4" s="5">
        <f t="shared" si="3"/>
        <v>0.95376290059750135</v>
      </c>
      <c r="Q4" s="2"/>
    </row>
    <row r="5" spans="1:17" x14ac:dyDescent="0.3">
      <c r="A5" s="2">
        <v>2</v>
      </c>
      <c r="B5" s="2">
        <v>2</v>
      </c>
      <c r="C5" s="2" t="str">
        <f t="shared" si="0"/>
        <v>ITS 2-2</v>
      </c>
      <c r="D5" s="2">
        <v>2</v>
      </c>
      <c r="E5" s="2" t="str">
        <f t="shared" si="1"/>
        <v>2-2-2</v>
      </c>
      <c r="F5" s="3" t="s">
        <v>16</v>
      </c>
      <c r="G5" s="2">
        <v>345</v>
      </c>
      <c r="H5" s="2">
        <v>178</v>
      </c>
      <c r="I5" s="2">
        <f t="shared" si="2"/>
        <v>534</v>
      </c>
      <c r="J5" s="2">
        <f>SUMIF($C$2:$C$36,C5,$I$2:$I$36)</f>
        <v>885</v>
      </c>
      <c r="K5" s="2">
        <f t="shared" si="4"/>
        <v>15486</v>
      </c>
      <c r="L5" s="4">
        <f t="shared" si="5"/>
        <v>5342.67</v>
      </c>
      <c r="M5" s="4">
        <f>SUMIF($C$2:$C$36,C5,$L$2:$L$36)</f>
        <v>8854.4249999999993</v>
      </c>
      <c r="N5" s="2">
        <v>3682</v>
      </c>
      <c r="O5" s="2">
        <f>SUMIF($C$2:$C$36,C5,$N$2:$N$36)</f>
        <v>7364</v>
      </c>
      <c r="P5" s="5">
        <f t="shared" si="3"/>
        <v>1.4510239000543184</v>
      </c>
      <c r="Q5" s="2"/>
    </row>
    <row r="6" spans="1:17" x14ac:dyDescent="0.3">
      <c r="A6" s="2">
        <v>3</v>
      </c>
      <c r="B6" s="2">
        <v>3</v>
      </c>
      <c r="C6" s="2" t="str">
        <f t="shared" si="0"/>
        <v>ITS 3-3</v>
      </c>
      <c r="D6" s="2">
        <v>1</v>
      </c>
      <c r="E6" s="2" t="str">
        <f t="shared" si="1"/>
        <v>3-3-1</v>
      </c>
      <c r="F6" s="3" t="s">
        <v>16</v>
      </c>
      <c r="G6" s="2">
        <v>340</v>
      </c>
      <c r="H6" s="2">
        <v>124</v>
      </c>
      <c r="I6" s="2">
        <f t="shared" si="2"/>
        <v>372</v>
      </c>
      <c r="J6" s="2">
        <f>SUMIF($C$2:$C$36,C6,$I$2:$I$36)</f>
        <v>894</v>
      </c>
      <c r="K6" s="2">
        <f t="shared" si="4"/>
        <v>10788</v>
      </c>
      <c r="L6" s="4">
        <f t="shared" si="5"/>
        <v>3667.92</v>
      </c>
      <c r="M6" s="4">
        <f>SUMIF($C$2:$C$36,C6,$L$2:$L$36)</f>
        <v>8814.84</v>
      </c>
      <c r="N6" s="2">
        <v>3682</v>
      </c>
      <c r="O6" s="2">
        <f>SUMIF($C$2:$C$36,C6,$N$2:$N$36)</f>
        <v>7364</v>
      </c>
      <c r="P6" s="5">
        <f t="shared" si="3"/>
        <v>0.9961759913090712</v>
      </c>
      <c r="Q6" s="2"/>
    </row>
    <row r="7" spans="1:17" x14ac:dyDescent="0.3">
      <c r="A7" s="2">
        <v>3</v>
      </c>
      <c r="B7" s="2">
        <v>3</v>
      </c>
      <c r="C7" s="2" t="str">
        <f t="shared" si="0"/>
        <v>ITS 3-3</v>
      </c>
      <c r="D7" s="2">
        <v>2</v>
      </c>
      <c r="E7" s="2" t="str">
        <f t="shared" si="1"/>
        <v>3-3-2</v>
      </c>
      <c r="F7" s="3" t="s">
        <v>16</v>
      </c>
      <c r="G7" s="2">
        <v>340</v>
      </c>
      <c r="H7" s="2">
        <v>174</v>
      </c>
      <c r="I7" s="2">
        <f t="shared" si="2"/>
        <v>522</v>
      </c>
      <c r="J7" s="2">
        <f>SUMIF($C$2:$C$36,C7,$I$2:$I$36)</f>
        <v>894</v>
      </c>
      <c r="K7" s="2">
        <f t="shared" si="4"/>
        <v>15138</v>
      </c>
      <c r="L7" s="4">
        <f t="shared" si="5"/>
        <v>5146.92</v>
      </c>
      <c r="M7" s="4">
        <f>SUMIF($C$2:$C$36,C7,$L$2:$L$36)</f>
        <v>8814.84</v>
      </c>
      <c r="N7" s="2">
        <v>3682</v>
      </c>
      <c r="O7" s="2">
        <f>SUMIF($C$2:$C$36,C7,$N$2:$N$36)</f>
        <v>7364</v>
      </c>
      <c r="P7" s="5">
        <f t="shared" si="3"/>
        <v>1.3978598587724063</v>
      </c>
      <c r="Q7" s="2"/>
    </row>
    <row r="8" spans="1:17" x14ac:dyDescent="0.3">
      <c r="A8" s="2">
        <v>4</v>
      </c>
      <c r="B8" s="2">
        <v>4</v>
      </c>
      <c r="C8" s="2" t="str">
        <f t="shared" si="0"/>
        <v>ITS 4-4</v>
      </c>
      <c r="D8" s="2">
        <v>1</v>
      </c>
      <c r="E8" s="2" t="str">
        <f t="shared" si="1"/>
        <v>4-4-1</v>
      </c>
      <c r="F8" s="3" t="s">
        <v>16</v>
      </c>
      <c r="G8" s="2">
        <v>345</v>
      </c>
      <c r="H8" s="2">
        <v>153</v>
      </c>
      <c r="I8" s="2">
        <f t="shared" si="2"/>
        <v>459</v>
      </c>
      <c r="J8" s="2">
        <f>SUMIF($C$2:$C$36,C8,$I$2:$I$36)</f>
        <v>882</v>
      </c>
      <c r="K8" s="2">
        <f t="shared" si="4"/>
        <v>13311</v>
      </c>
      <c r="L8" s="4">
        <f t="shared" si="5"/>
        <v>4592.2950000000001</v>
      </c>
      <c r="M8" s="4">
        <f>SUMIF($C$2:$C$36,C8,$L$2:$L$36)</f>
        <v>8824.41</v>
      </c>
      <c r="N8" s="2">
        <v>3682</v>
      </c>
      <c r="O8" s="2">
        <f>SUMIF($C$2:$C$36,C8,$N$2:$N$36)</f>
        <v>7364</v>
      </c>
      <c r="P8" s="5">
        <f t="shared" si="3"/>
        <v>1.2472284084736556</v>
      </c>
      <c r="Q8" s="2"/>
    </row>
    <row r="9" spans="1:17" x14ac:dyDescent="0.3">
      <c r="A9" s="2">
        <v>4</v>
      </c>
      <c r="B9" s="2">
        <v>4</v>
      </c>
      <c r="C9" s="2" t="str">
        <f t="shared" si="0"/>
        <v>ITS 4-4</v>
      </c>
      <c r="D9" s="2">
        <v>2</v>
      </c>
      <c r="E9" s="2" t="str">
        <f t="shared" si="1"/>
        <v>4-4-2</v>
      </c>
      <c r="F9" s="3" t="s">
        <v>16</v>
      </c>
      <c r="G9" s="2">
        <v>345</v>
      </c>
      <c r="H9" s="2">
        <v>141</v>
      </c>
      <c r="I9" s="2">
        <f t="shared" si="2"/>
        <v>423</v>
      </c>
      <c r="J9" s="2">
        <f>SUMIF($C$2:$C$36,C9,$I$2:$I$36)</f>
        <v>882</v>
      </c>
      <c r="K9" s="2">
        <f t="shared" si="4"/>
        <v>12267</v>
      </c>
      <c r="L9" s="4">
        <f t="shared" si="5"/>
        <v>4232.1149999999998</v>
      </c>
      <c r="M9" s="4">
        <f>SUMIF($C$2:$C$36,C9,$L$2:$L$36)</f>
        <v>8824.41</v>
      </c>
      <c r="N9" s="2">
        <v>3682</v>
      </c>
      <c r="O9" s="2">
        <f>SUMIF($C$2:$C$36,C9,$N$2:$N$36)</f>
        <v>7364</v>
      </c>
      <c r="P9" s="5">
        <f t="shared" si="3"/>
        <v>1.1494065725149374</v>
      </c>
      <c r="Q9" s="2"/>
    </row>
    <row r="10" spans="1:17" x14ac:dyDescent="0.3">
      <c r="A10" s="2">
        <v>5</v>
      </c>
      <c r="B10" s="2">
        <v>5</v>
      </c>
      <c r="C10" s="2" t="str">
        <f t="shared" si="0"/>
        <v>ITS 5-5</v>
      </c>
      <c r="D10" s="2">
        <v>1</v>
      </c>
      <c r="E10" s="2" t="str">
        <f t="shared" ref="E10:E17" si="6">+A10&amp;"-"&amp;B10&amp;"-"&amp;D10</f>
        <v>5-5-1</v>
      </c>
      <c r="F10" s="3" t="s">
        <v>16</v>
      </c>
      <c r="G10" s="2">
        <v>340</v>
      </c>
      <c r="H10" s="2">
        <v>72</v>
      </c>
      <c r="I10" s="2">
        <f t="shared" si="2"/>
        <v>216</v>
      </c>
      <c r="J10" s="2">
        <f>SUMIF($C$2:$C$36,C10,$I$2:$I$36)</f>
        <v>888</v>
      </c>
      <c r="K10" s="2">
        <f t="shared" si="4"/>
        <v>6264</v>
      </c>
      <c r="L10" s="4">
        <f t="shared" si="5"/>
        <v>2129.7600000000002</v>
      </c>
      <c r="M10" s="4">
        <f>SUMIF($C$2:$C$36,C10,$L$2:$L$36)</f>
        <v>8819.625</v>
      </c>
      <c r="N10" s="2">
        <v>1841</v>
      </c>
      <c r="O10" s="2">
        <f>SUMIF($C$2:$C$36,C10,$N$2:$N$36)</f>
        <v>7364</v>
      </c>
      <c r="P10" s="5">
        <f>+L10/N11</f>
        <v>1.1568495382944053</v>
      </c>
      <c r="Q10" s="2"/>
    </row>
    <row r="11" spans="1:17" x14ac:dyDescent="0.3">
      <c r="A11" s="2">
        <v>5</v>
      </c>
      <c r="B11" s="2">
        <v>5</v>
      </c>
      <c r="C11" s="2" t="str">
        <f t="shared" ref="C11:C37" si="7">+"ITS "&amp;A11&amp;"-"&amp;B11</f>
        <v>ITS 5-5</v>
      </c>
      <c r="D11" s="2">
        <v>1</v>
      </c>
      <c r="E11" s="2" t="str">
        <f t="shared" si="6"/>
        <v>5-5-1</v>
      </c>
      <c r="F11" s="3" t="s">
        <v>16</v>
      </c>
      <c r="G11" s="2">
        <v>345</v>
      </c>
      <c r="H11" s="2">
        <v>70</v>
      </c>
      <c r="I11" s="2">
        <f t="shared" si="2"/>
        <v>210</v>
      </c>
      <c r="J11" s="2">
        <f>SUMIF($C$2:$C$36,C11,$I$2:$I$36)</f>
        <v>888</v>
      </c>
      <c r="K11" s="2">
        <f t="shared" ref="K11:K37" si="8">+H11*87</f>
        <v>6090</v>
      </c>
      <c r="L11" s="4">
        <f t="shared" ref="L11:L37" si="9">+G11*K11/1000</f>
        <v>2101.0500000000002</v>
      </c>
      <c r="M11" s="4">
        <f>SUMIF($C$2:$C$36,C11,$L$2:$L$36)</f>
        <v>8819.625</v>
      </c>
      <c r="N11" s="2">
        <v>1841</v>
      </c>
      <c r="O11" s="2">
        <f>SUMIF($C$2:$C$36,C11,$N$2:$N$36)</f>
        <v>7364</v>
      </c>
      <c r="P11" s="5">
        <f>+L11/N12</f>
        <v>1.1412547528517112</v>
      </c>
      <c r="Q11" s="2"/>
    </row>
    <row r="12" spans="1:17" x14ac:dyDescent="0.3">
      <c r="A12" s="2">
        <v>5</v>
      </c>
      <c r="B12" s="2">
        <v>5</v>
      </c>
      <c r="C12" s="2" t="str">
        <f t="shared" si="7"/>
        <v>ITS 5-5</v>
      </c>
      <c r="D12" s="2">
        <v>2</v>
      </c>
      <c r="E12" s="2" t="str">
        <f t="shared" si="6"/>
        <v>5-5-2</v>
      </c>
      <c r="F12" s="3" t="s">
        <v>16</v>
      </c>
      <c r="G12" s="2">
        <v>340</v>
      </c>
      <c r="H12" s="2">
        <v>77</v>
      </c>
      <c r="I12" s="2">
        <f t="shared" si="2"/>
        <v>231</v>
      </c>
      <c r="J12" s="2">
        <f>SUMIF($C$2:$C$36,C12,$I$2:$I$36)</f>
        <v>888</v>
      </c>
      <c r="K12" s="2">
        <f t="shared" si="8"/>
        <v>6699</v>
      </c>
      <c r="L12" s="4">
        <f t="shared" si="9"/>
        <v>2277.66</v>
      </c>
      <c r="M12" s="4">
        <f>SUMIF($C$2:$C$36,C12,$L$2:$L$36)</f>
        <v>8819.625</v>
      </c>
      <c r="N12" s="2">
        <v>1841</v>
      </c>
      <c r="O12" s="2">
        <f>SUMIF($C$2:$C$36,C12,$N$2:$N$36)</f>
        <v>7364</v>
      </c>
      <c r="P12" s="5">
        <f t="shared" ref="P12:P20" si="10">+L12/N12</f>
        <v>1.2371863117870721</v>
      </c>
      <c r="Q12" s="2"/>
    </row>
    <row r="13" spans="1:17" x14ac:dyDescent="0.3">
      <c r="A13" s="2">
        <v>5</v>
      </c>
      <c r="B13" s="2">
        <v>5</v>
      </c>
      <c r="C13" s="2" t="str">
        <f t="shared" si="7"/>
        <v>ITS 5-5</v>
      </c>
      <c r="D13" s="2">
        <v>2</v>
      </c>
      <c r="E13" s="2" t="str">
        <f t="shared" si="6"/>
        <v>5-5-2</v>
      </c>
      <c r="F13" s="3" t="s">
        <v>16</v>
      </c>
      <c r="G13" s="2">
        <v>345</v>
      </c>
      <c r="H13" s="2">
        <v>77</v>
      </c>
      <c r="I13" s="2">
        <f t="shared" si="2"/>
        <v>231</v>
      </c>
      <c r="J13" s="2">
        <f>SUMIF($C$2:$C$36,C13,$I$2:$I$36)</f>
        <v>888</v>
      </c>
      <c r="K13" s="2">
        <f t="shared" si="8"/>
        <v>6699</v>
      </c>
      <c r="L13" s="4">
        <f t="shared" si="9"/>
        <v>2311.1550000000002</v>
      </c>
      <c r="M13" s="4">
        <f>SUMIF($C$2:$C$36,C13,$L$2:$L$36)</f>
        <v>8819.625</v>
      </c>
      <c r="N13" s="2">
        <v>1841</v>
      </c>
      <c r="O13" s="2">
        <f>SUMIF($C$2:$C$36,C13,$N$2:$N$36)</f>
        <v>7364</v>
      </c>
      <c r="P13" s="5">
        <f t="shared" si="10"/>
        <v>1.2553802281368822</v>
      </c>
      <c r="Q13" s="2"/>
    </row>
    <row r="14" spans="1:17" x14ac:dyDescent="0.3">
      <c r="A14" s="2">
        <v>6</v>
      </c>
      <c r="B14" s="2">
        <v>6</v>
      </c>
      <c r="C14" s="2" t="str">
        <f t="shared" si="7"/>
        <v>ITS 6-6</v>
      </c>
      <c r="D14" s="2">
        <v>1</v>
      </c>
      <c r="E14" s="2" t="str">
        <f t="shared" si="6"/>
        <v>6-6-1</v>
      </c>
      <c r="F14" s="3" t="s">
        <v>18</v>
      </c>
      <c r="G14" s="2">
        <v>340</v>
      </c>
      <c r="H14" s="2">
        <v>57</v>
      </c>
      <c r="I14" s="2">
        <f t="shared" si="2"/>
        <v>171</v>
      </c>
      <c r="J14" s="2">
        <f>SUMIF($C$2:$C$36,C14,$I$2:$I$36)</f>
        <v>849</v>
      </c>
      <c r="K14" s="2">
        <f t="shared" si="8"/>
        <v>4959</v>
      </c>
      <c r="L14" s="4">
        <f t="shared" si="9"/>
        <v>1686.06</v>
      </c>
      <c r="M14" s="4">
        <f>SUMIF($C$2:$C$36,C14,$L$2:$L$36)</f>
        <v>8432.4750000000004</v>
      </c>
      <c r="N14" s="2">
        <v>1841</v>
      </c>
      <c r="O14" s="2">
        <f>SUMIF($C$2:$C$36,C14,$N$2:$N$36)</f>
        <v>7364</v>
      </c>
      <c r="P14" s="5">
        <f t="shared" si="10"/>
        <v>0.91583921781640409</v>
      </c>
      <c r="Q14" s="2"/>
    </row>
    <row r="15" spans="1:17" x14ac:dyDescent="0.3">
      <c r="A15" s="2">
        <v>6</v>
      </c>
      <c r="B15" s="2">
        <v>6</v>
      </c>
      <c r="C15" s="2" t="str">
        <f t="shared" si="7"/>
        <v>ITS 6-6</v>
      </c>
      <c r="D15" s="2">
        <v>1</v>
      </c>
      <c r="E15" s="2" t="str">
        <f t="shared" si="6"/>
        <v>6-6-1</v>
      </c>
      <c r="F15" s="3" t="s">
        <v>18</v>
      </c>
      <c r="G15" s="2">
        <v>345</v>
      </c>
      <c r="H15" s="2">
        <v>88</v>
      </c>
      <c r="I15" s="2">
        <f t="shared" si="2"/>
        <v>264</v>
      </c>
      <c r="J15" s="2">
        <f>SUMIF($C$2:$C$36,C15,$I$2:$I$36)</f>
        <v>849</v>
      </c>
      <c r="K15" s="2">
        <f t="shared" si="8"/>
        <v>7656</v>
      </c>
      <c r="L15" s="4">
        <f t="shared" si="9"/>
        <v>2641.32</v>
      </c>
      <c r="M15" s="4">
        <f>SUMIF($C$2:$C$36,C15,$L$2:$L$36)</f>
        <v>8432.4750000000004</v>
      </c>
      <c r="N15" s="2">
        <v>1841</v>
      </c>
      <c r="O15" s="2">
        <f>SUMIF($C$2:$C$36,C15,$N$2:$N$36)</f>
        <v>7364</v>
      </c>
      <c r="P15" s="5">
        <f t="shared" si="10"/>
        <v>1.4347202607278653</v>
      </c>
      <c r="Q15" s="2"/>
    </row>
    <row r="16" spans="1:17" x14ac:dyDescent="0.3">
      <c r="A16" s="2">
        <v>6</v>
      </c>
      <c r="B16" s="2">
        <v>6</v>
      </c>
      <c r="C16" s="2" t="str">
        <f t="shared" si="7"/>
        <v>ITS 6-6</v>
      </c>
      <c r="D16" s="2">
        <v>2</v>
      </c>
      <c r="E16" s="2" t="str">
        <f t="shared" si="6"/>
        <v>6-6-2</v>
      </c>
      <c r="F16" s="3" t="s">
        <v>18</v>
      </c>
      <c r="G16" s="2">
        <v>340</v>
      </c>
      <c r="H16" s="2">
        <v>85</v>
      </c>
      <c r="I16" s="2">
        <f t="shared" si="2"/>
        <v>255</v>
      </c>
      <c r="J16" s="2">
        <f>SUMIF($C$2:$C$36,C16,$I$2:$I$36)</f>
        <v>849</v>
      </c>
      <c r="K16" s="2">
        <f t="shared" si="8"/>
        <v>7395</v>
      </c>
      <c r="L16" s="4">
        <f t="shared" si="9"/>
        <v>2514.3000000000002</v>
      </c>
      <c r="M16" s="4">
        <f>SUMIF($C$2:$C$36,C16,$L$2:$L$36)</f>
        <v>8432.4750000000004</v>
      </c>
      <c r="N16" s="2">
        <v>1841</v>
      </c>
      <c r="O16" s="2">
        <f>SUMIF($C$2:$C$36,C16,$N$2:$N$36)</f>
        <v>7364</v>
      </c>
      <c r="P16" s="5">
        <f t="shared" si="10"/>
        <v>1.3657251493753395</v>
      </c>
      <c r="Q16" s="2"/>
    </row>
    <row r="17" spans="1:17" x14ac:dyDescent="0.3">
      <c r="A17" s="2">
        <v>6</v>
      </c>
      <c r="B17" s="2">
        <v>6</v>
      </c>
      <c r="C17" s="2" t="str">
        <f t="shared" si="7"/>
        <v>ITS 6-6</v>
      </c>
      <c r="D17" s="2">
        <v>2</v>
      </c>
      <c r="E17" s="2" t="str">
        <f t="shared" si="6"/>
        <v>6-6-2</v>
      </c>
      <c r="F17" s="3" t="s">
        <v>18</v>
      </c>
      <c r="G17" s="2">
        <v>345</v>
      </c>
      <c r="H17" s="2">
        <v>53</v>
      </c>
      <c r="I17" s="2">
        <f t="shared" si="2"/>
        <v>159</v>
      </c>
      <c r="J17" s="2">
        <f>SUMIF($C$2:$C$36,C17,$I$2:$I$36)</f>
        <v>849</v>
      </c>
      <c r="K17" s="2">
        <f t="shared" si="8"/>
        <v>4611</v>
      </c>
      <c r="L17" s="4">
        <f t="shared" si="9"/>
        <v>1590.7950000000001</v>
      </c>
      <c r="M17" s="4">
        <f>SUMIF($C$2:$C$36,C17,$L$2:$L$36)</f>
        <v>8432.4750000000004</v>
      </c>
      <c r="N17" s="2">
        <v>1841</v>
      </c>
      <c r="O17" s="2">
        <f>SUMIF($C$2:$C$36,C17,$N$2:$N$36)</f>
        <v>7364</v>
      </c>
      <c r="P17" s="5">
        <f t="shared" si="10"/>
        <v>0.86409288430200981</v>
      </c>
      <c r="Q17" s="2"/>
    </row>
    <row r="18" spans="1:17" x14ac:dyDescent="0.3">
      <c r="A18" s="2">
        <v>7</v>
      </c>
      <c r="B18" s="2">
        <v>7</v>
      </c>
      <c r="C18" s="2" t="str">
        <f t="shared" si="7"/>
        <v>ITS 7-7</v>
      </c>
      <c r="D18" s="2">
        <v>1</v>
      </c>
      <c r="E18" s="2" t="str">
        <f t="shared" ref="E18:E37" si="11">+A18&amp;"-"&amp;B18&amp;"-"&amp;D18</f>
        <v>7-7-1</v>
      </c>
      <c r="F18" s="3" t="s">
        <v>18</v>
      </c>
      <c r="G18" s="2">
        <v>345</v>
      </c>
      <c r="H18" s="2">
        <v>158</v>
      </c>
      <c r="I18" s="2">
        <f t="shared" si="2"/>
        <v>474</v>
      </c>
      <c r="J18" s="2">
        <f>SUMIF($C$2:$C$36,C18,$I$2:$I$36)</f>
        <v>846</v>
      </c>
      <c r="K18" s="2">
        <f t="shared" si="8"/>
        <v>13746</v>
      </c>
      <c r="L18" s="4">
        <f t="shared" si="9"/>
        <v>4742.37</v>
      </c>
      <c r="M18" s="4">
        <f>SUMIF($C$2:$C$36,C18,$L$2:$L$36)</f>
        <v>8464.23</v>
      </c>
      <c r="N18" s="2">
        <v>3682</v>
      </c>
      <c r="O18" s="2">
        <f>SUMIF($C$2:$C$36,C18,$N$2:$N$36)</f>
        <v>7364</v>
      </c>
      <c r="P18" s="5">
        <f t="shared" si="10"/>
        <v>1.2879875067897881</v>
      </c>
      <c r="Q18" s="2"/>
    </row>
    <row r="19" spans="1:17" x14ac:dyDescent="0.3">
      <c r="A19" s="2">
        <v>7</v>
      </c>
      <c r="B19" s="2">
        <v>7</v>
      </c>
      <c r="C19" s="2" t="str">
        <f t="shared" si="7"/>
        <v>ITS 7-7</v>
      </c>
      <c r="D19" s="2">
        <v>2</v>
      </c>
      <c r="E19" s="2" t="str">
        <f t="shared" si="11"/>
        <v>7-7-2</v>
      </c>
      <c r="F19" s="3" t="s">
        <v>18</v>
      </c>
      <c r="G19" s="2">
        <v>345</v>
      </c>
      <c r="H19" s="2">
        <v>124</v>
      </c>
      <c r="I19" s="2">
        <f t="shared" si="2"/>
        <v>372</v>
      </c>
      <c r="J19" s="2">
        <f>SUMIF($C$2:$C$36,C19,$I$2:$I$36)</f>
        <v>846</v>
      </c>
      <c r="K19" s="2">
        <f t="shared" si="8"/>
        <v>10788</v>
      </c>
      <c r="L19" s="4">
        <f t="shared" si="9"/>
        <v>3721.86</v>
      </c>
      <c r="M19" s="4">
        <f>SUMIF($C$2:$C$36,C19,$L$2:$L$36)</f>
        <v>8464.23</v>
      </c>
      <c r="N19" s="2">
        <v>3682</v>
      </c>
      <c r="O19" s="2">
        <f>SUMIF($C$2:$C$36,C19,$N$2:$N$36)</f>
        <v>7364</v>
      </c>
      <c r="P19" s="5">
        <f t="shared" si="10"/>
        <v>1.0108256382400869</v>
      </c>
      <c r="Q19" s="2"/>
    </row>
    <row r="20" spans="1:17" x14ac:dyDescent="0.3">
      <c r="A20" s="2">
        <v>8</v>
      </c>
      <c r="B20" s="2">
        <v>8</v>
      </c>
      <c r="C20" s="2" t="str">
        <f t="shared" si="7"/>
        <v>ITS 8-8</v>
      </c>
      <c r="D20" s="2">
        <v>1</v>
      </c>
      <c r="E20" s="2" t="str">
        <f t="shared" si="11"/>
        <v>8-8-1</v>
      </c>
      <c r="F20" s="3" t="s">
        <v>18</v>
      </c>
      <c r="G20" s="2">
        <v>345</v>
      </c>
      <c r="H20" s="2">
        <v>188</v>
      </c>
      <c r="I20" s="2">
        <f t="shared" si="2"/>
        <v>564</v>
      </c>
      <c r="J20" s="2">
        <f>SUMIF($C$2:$C$36,C20,$I$2:$I$36)</f>
        <v>846</v>
      </c>
      <c r="K20" s="2">
        <f t="shared" si="8"/>
        <v>16356</v>
      </c>
      <c r="L20" s="4">
        <f t="shared" si="9"/>
        <v>5642.82</v>
      </c>
      <c r="M20" s="4">
        <f>SUMIF($C$2:$C$36,C20,$L$2:$L$36)</f>
        <v>8464.23</v>
      </c>
      <c r="N20" s="2">
        <v>3682</v>
      </c>
      <c r="O20" s="2">
        <f>SUMIF($C$2:$C$36,C20,$N$2:$N$36)</f>
        <v>7364</v>
      </c>
      <c r="P20" s="5">
        <f t="shared" si="10"/>
        <v>1.5325420966865833</v>
      </c>
      <c r="Q20" s="2"/>
    </row>
    <row r="21" spans="1:17" x14ac:dyDescent="0.3">
      <c r="A21" s="2">
        <v>8</v>
      </c>
      <c r="B21" s="2">
        <v>8</v>
      </c>
      <c r="C21" s="2" t="str">
        <f t="shared" si="7"/>
        <v>ITS 8-8</v>
      </c>
      <c r="D21" s="2">
        <v>2</v>
      </c>
      <c r="E21" s="2" t="str">
        <f t="shared" si="11"/>
        <v>8-8-2</v>
      </c>
      <c r="F21" s="3" t="s">
        <v>18</v>
      </c>
      <c r="G21" s="2">
        <v>345</v>
      </c>
      <c r="H21" s="2">
        <v>94</v>
      </c>
      <c r="I21" s="2">
        <f t="shared" si="2"/>
        <v>282</v>
      </c>
      <c r="J21" s="2">
        <f>SUMIF($C$2:$C$36,C21,$I$2:$I$36)</f>
        <v>846</v>
      </c>
      <c r="K21" s="2">
        <f t="shared" si="8"/>
        <v>8178</v>
      </c>
      <c r="L21" s="4">
        <f t="shared" si="9"/>
        <v>2821.41</v>
      </c>
      <c r="M21" s="4">
        <f>SUMIF($C$2:$C$36,C21,$L$2:$L$36)</f>
        <v>8464.23</v>
      </c>
      <c r="N21" s="2">
        <v>3682</v>
      </c>
      <c r="O21" s="2">
        <f>SUMIF($C$2:$C$36,C21,$N$2:$N$36)</f>
        <v>7364</v>
      </c>
      <c r="P21" s="5">
        <f>+L21/N21</f>
        <v>0.76627104834329163</v>
      </c>
      <c r="Q21" s="2"/>
    </row>
    <row r="22" spans="1:17" x14ac:dyDescent="0.3">
      <c r="A22" s="2">
        <v>9</v>
      </c>
      <c r="B22" s="2">
        <v>9</v>
      </c>
      <c r="C22" s="2" t="str">
        <f t="shared" si="7"/>
        <v>ITS 9-9</v>
      </c>
      <c r="D22" s="2">
        <v>1</v>
      </c>
      <c r="E22" s="2" t="str">
        <f t="shared" si="11"/>
        <v>9-9-1</v>
      </c>
      <c r="F22" s="3" t="s">
        <v>18</v>
      </c>
      <c r="G22" s="2">
        <v>340</v>
      </c>
      <c r="H22" s="2">
        <v>142</v>
      </c>
      <c r="I22" s="2">
        <f t="shared" si="2"/>
        <v>426</v>
      </c>
      <c r="J22" s="2">
        <f>SUMIF($C$2:$C$36,C22,$I$2:$I$36)</f>
        <v>870</v>
      </c>
      <c r="K22" s="2">
        <f t="shared" si="8"/>
        <v>12354</v>
      </c>
      <c r="L22" s="4">
        <f t="shared" si="9"/>
        <v>4200.3599999999997</v>
      </c>
      <c r="M22" s="4">
        <f>SUMIF($C$2:$C$36,C22,$L$2:$L$36)</f>
        <v>8642.58</v>
      </c>
      <c r="N22" s="2">
        <v>3682</v>
      </c>
      <c r="O22" s="2">
        <f>SUMIF($C$2:$C$36,C22,$N$2:$N$36)</f>
        <v>7364</v>
      </c>
      <c r="P22" s="5">
        <f>+L22/N22</f>
        <v>1.1407821835958718</v>
      </c>
      <c r="Q22" s="2"/>
    </row>
    <row r="23" spans="1:17" x14ac:dyDescent="0.3">
      <c r="A23" s="2">
        <v>9</v>
      </c>
      <c r="B23" s="2">
        <v>9</v>
      </c>
      <c r="C23" s="2" t="str">
        <f t="shared" si="7"/>
        <v>ITS 9-9</v>
      </c>
      <c r="D23" s="2">
        <v>2</v>
      </c>
      <c r="E23" s="2" t="str">
        <f t="shared" si="11"/>
        <v>9-9-2</v>
      </c>
      <c r="F23" s="3" t="s">
        <v>16</v>
      </c>
      <c r="G23" s="2">
        <v>345</v>
      </c>
      <c r="H23" s="2">
        <v>148</v>
      </c>
      <c r="I23" s="2">
        <f t="shared" si="2"/>
        <v>444</v>
      </c>
      <c r="J23" s="2">
        <f>SUMIF($C$2:$C$36,C23,$I$2:$I$36)</f>
        <v>870</v>
      </c>
      <c r="K23" s="2">
        <f t="shared" si="8"/>
        <v>12876</v>
      </c>
      <c r="L23" s="4">
        <f t="shared" si="9"/>
        <v>4442.22</v>
      </c>
      <c r="M23" s="4">
        <f>SUMIF($C$2:$C$36,C23,$L$2:$L$36)</f>
        <v>8642.58</v>
      </c>
      <c r="N23" s="2">
        <v>3682</v>
      </c>
      <c r="O23" s="2">
        <f>SUMIF($C$2:$C$36,C23,$N$2:$N$36)</f>
        <v>7364</v>
      </c>
      <c r="P23" s="5">
        <f>+L23/N23</f>
        <v>1.2064693101575232</v>
      </c>
      <c r="Q23" s="2"/>
    </row>
    <row r="24" spans="1:17" x14ac:dyDescent="0.3">
      <c r="A24" s="2">
        <v>10</v>
      </c>
      <c r="B24" s="2">
        <v>10</v>
      </c>
      <c r="C24" s="2" t="str">
        <f t="shared" si="7"/>
        <v>ITS 10-10</v>
      </c>
      <c r="D24" s="2">
        <v>1</v>
      </c>
      <c r="E24" s="2" t="str">
        <f t="shared" si="11"/>
        <v>10-10-1</v>
      </c>
      <c r="F24" s="3" t="s">
        <v>19</v>
      </c>
      <c r="G24" s="2">
        <v>345</v>
      </c>
      <c r="H24" s="2">
        <v>190</v>
      </c>
      <c r="I24" s="2">
        <f t="shared" si="2"/>
        <v>570</v>
      </c>
      <c r="J24" s="2">
        <f>SUMIF($C$2:$C$36,C24,$I$2:$I$36)</f>
        <v>858</v>
      </c>
      <c r="K24" s="2">
        <f t="shared" si="8"/>
        <v>16530</v>
      </c>
      <c r="L24" s="4">
        <f t="shared" si="9"/>
        <v>5702.85</v>
      </c>
      <c r="M24" s="4">
        <f>SUMIF($C$2:$C$36,C24,$L$2:$L$36)</f>
        <v>8584.2900000000009</v>
      </c>
      <c r="N24" s="2">
        <v>3682</v>
      </c>
      <c r="O24" s="2">
        <f>SUMIF($C$2:$C$36,C24,$N$2:$N$36)</f>
        <v>7364</v>
      </c>
      <c r="P24" s="5">
        <f>+L24/N24</f>
        <v>1.5488457360130365</v>
      </c>
      <c r="Q24" s="2"/>
    </row>
    <row r="25" spans="1:17" x14ac:dyDescent="0.3">
      <c r="A25" s="2">
        <v>10</v>
      </c>
      <c r="B25" s="2">
        <v>10</v>
      </c>
      <c r="C25" s="2" t="str">
        <f t="shared" si="7"/>
        <v>ITS 10-10</v>
      </c>
      <c r="D25" s="2">
        <v>2</v>
      </c>
      <c r="E25" s="2" t="str">
        <f t="shared" si="11"/>
        <v>10-10-2</v>
      </c>
      <c r="F25" s="3" t="s">
        <v>19</v>
      </c>
      <c r="G25" s="2">
        <v>345</v>
      </c>
      <c r="H25" s="2">
        <v>96</v>
      </c>
      <c r="I25" s="2">
        <f t="shared" si="2"/>
        <v>288</v>
      </c>
      <c r="J25" s="2">
        <f>SUMIF($C$2:$C$36,C25,$I$2:$I$36)</f>
        <v>858</v>
      </c>
      <c r="K25" s="2">
        <f t="shared" si="8"/>
        <v>8352</v>
      </c>
      <c r="L25" s="4">
        <f t="shared" si="9"/>
        <v>2881.44</v>
      </c>
      <c r="M25" s="4">
        <f>SUMIF($C$2:$C$36,C25,$L$2:$L$36)</f>
        <v>8584.2900000000009</v>
      </c>
      <c r="N25" s="2">
        <v>3682</v>
      </c>
      <c r="O25" s="2">
        <f>SUMIF($C$2:$C$36,C25,$N$2:$N$36)</f>
        <v>7364</v>
      </c>
      <c r="P25" s="5">
        <f>+L25/N25</f>
        <v>0.7825746876697447</v>
      </c>
      <c r="Q25" s="2"/>
    </row>
    <row r="26" spans="1:17" x14ac:dyDescent="0.3">
      <c r="A26" s="2">
        <v>11</v>
      </c>
      <c r="B26" s="2">
        <v>11</v>
      </c>
      <c r="C26" s="2" t="str">
        <f t="shared" si="7"/>
        <v>ITS 11-11</v>
      </c>
      <c r="D26" s="2">
        <v>1</v>
      </c>
      <c r="E26" s="2" t="str">
        <f t="shared" si="11"/>
        <v>11-11-1</v>
      </c>
      <c r="F26" s="3" t="s">
        <v>19</v>
      </c>
      <c r="G26" s="2">
        <v>345</v>
      </c>
      <c r="H26" s="2">
        <v>166</v>
      </c>
      <c r="I26" s="2">
        <f t="shared" si="2"/>
        <v>498</v>
      </c>
      <c r="J26" s="2">
        <f>SUMIF($C$2:$C$36,C26,$I$2:$I$36)</f>
        <v>852</v>
      </c>
      <c r="K26" s="2">
        <f t="shared" si="8"/>
        <v>14442</v>
      </c>
      <c r="L26" s="4">
        <f t="shared" si="9"/>
        <v>4982.49</v>
      </c>
      <c r="M26" s="4">
        <f>SUMIF($C$2:$C$36,C26,$L$2:$L$36)</f>
        <v>8524.26</v>
      </c>
      <c r="N26" s="2">
        <v>3682</v>
      </c>
      <c r="O26" s="2">
        <f>SUMIF($C$2:$C$36,C26,$N$2:$N$36)</f>
        <v>7364</v>
      </c>
      <c r="P26" s="5">
        <f>+L26/N26</f>
        <v>1.3532020640956002</v>
      </c>
      <c r="Q26" s="2"/>
    </row>
    <row r="27" spans="1:17" x14ac:dyDescent="0.3">
      <c r="A27" s="2">
        <v>11</v>
      </c>
      <c r="B27" s="2">
        <v>11</v>
      </c>
      <c r="C27" s="2" t="str">
        <f t="shared" si="7"/>
        <v>ITS 11-11</v>
      </c>
      <c r="D27" s="2">
        <v>2</v>
      </c>
      <c r="E27" s="2" t="str">
        <f t="shared" si="11"/>
        <v>11-11-2</v>
      </c>
      <c r="F27" s="3" t="s">
        <v>19</v>
      </c>
      <c r="G27" s="2">
        <v>345</v>
      </c>
      <c r="H27" s="2">
        <v>118</v>
      </c>
      <c r="I27" s="2">
        <f t="shared" si="2"/>
        <v>354</v>
      </c>
      <c r="J27" s="2">
        <f>SUMIF($C$2:$C$36,C27,$I$2:$I$36)</f>
        <v>852</v>
      </c>
      <c r="K27" s="2">
        <f t="shared" si="8"/>
        <v>10266</v>
      </c>
      <c r="L27" s="4">
        <f t="shared" si="9"/>
        <v>3541.77</v>
      </c>
      <c r="M27" s="4">
        <f>SUMIF($C$2:$C$36,C27,$L$2:$L$36)</f>
        <v>8524.26</v>
      </c>
      <c r="N27" s="2">
        <v>3682</v>
      </c>
      <c r="O27" s="2">
        <f>SUMIF($C$2:$C$36,C27,$N$2:$N$36)</f>
        <v>7364</v>
      </c>
      <c r="P27" s="5">
        <f>+L27/N27</f>
        <v>0.96191472026072788</v>
      </c>
      <c r="Q27" s="2"/>
    </row>
    <row r="28" spans="1:17" x14ac:dyDescent="0.3">
      <c r="A28" s="2">
        <v>12</v>
      </c>
      <c r="B28" s="2">
        <v>12</v>
      </c>
      <c r="C28" s="2" t="str">
        <f t="shared" si="7"/>
        <v>ITS 12-12</v>
      </c>
      <c r="D28" s="2">
        <v>1</v>
      </c>
      <c r="E28" s="2" t="str">
        <f t="shared" si="11"/>
        <v>12-12-1</v>
      </c>
      <c r="F28" s="3" t="s">
        <v>19</v>
      </c>
      <c r="G28" s="2">
        <v>340</v>
      </c>
      <c r="H28" s="2">
        <v>145</v>
      </c>
      <c r="I28" s="2">
        <f t="shared" si="2"/>
        <v>435</v>
      </c>
      <c r="J28" s="2">
        <f>SUMIF($C$2:$C$36,C28,$I$2:$I$36)</f>
        <v>864</v>
      </c>
      <c r="K28" s="2">
        <f t="shared" si="8"/>
        <v>12615</v>
      </c>
      <c r="L28" s="4">
        <f t="shared" si="9"/>
        <v>4289.1000000000004</v>
      </c>
      <c r="M28" s="4">
        <f>SUMIF($C$2:$C$36,C28,$L$2:$L$36)</f>
        <v>8581.2450000000008</v>
      </c>
      <c r="N28" s="2">
        <v>3682</v>
      </c>
      <c r="O28" s="2">
        <f>SUMIF($C$2:$C$36,C28,$N$2:$N$36)</f>
        <v>7364</v>
      </c>
      <c r="P28" s="5">
        <f>+L28/N28</f>
        <v>1.1648832156436719</v>
      </c>
      <c r="Q28" s="2"/>
    </row>
    <row r="29" spans="1:17" x14ac:dyDescent="0.3">
      <c r="A29" s="2">
        <v>12</v>
      </c>
      <c r="B29" s="2">
        <v>12</v>
      </c>
      <c r="C29" s="2" t="str">
        <f t="shared" si="7"/>
        <v>ITS 12-12</v>
      </c>
      <c r="D29" s="2">
        <v>2</v>
      </c>
      <c r="E29" s="2" t="str">
        <f t="shared" si="11"/>
        <v>12-12-2</v>
      </c>
      <c r="F29" s="3" t="s">
        <v>19</v>
      </c>
      <c r="G29" s="2">
        <v>345</v>
      </c>
      <c r="H29" s="2">
        <v>143</v>
      </c>
      <c r="I29" s="2">
        <f t="shared" si="2"/>
        <v>429</v>
      </c>
      <c r="J29" s="2">
        <f>SUMIF($C$2:$C$36,C29,$I$2:$I$36)</f>
        <v>864</v>
      </c>
      <c r="K29" s="2">
        <f t="shared" si="8"/>
        <v>12441</v>
      </c>
      <c r="L29" s="4">
        <f t="shared" si="9"/>
        <v>4292.1450000000004</v>
      </c>
      <c r="M29" s="4">
        <f>SUMIF($C$2:$C$36,C29,$L$2:$L$36)</f>
        <v>8581.2450000000008</v>
      </c>
      <c r="N29" s="2">
        <v>3682</v>
      </c>
      <c r="O29" s="2">
        <f>SUMIF($C$2:$C$36,C29,$N$2:$N$36)</f>
        <v>7364</v>
      </c>
      <c r="P29" s="5">
        <f>+L29/N29</f>
        <v>1.1657102118413907</v>
      </c>
      <c r="Q29" s="2"/>
    </row>
    <row r="30" spans="1:17" x14ac:dyDescent="0.3">
      <c r="A30" s="2">
        <v>13</v>
      </c>
      <c r="B30" s="2">
        <v>13</v>
      </c>
      <c r="C30" s="2" t="str">
        <f t="shared" si="7"/>
        <v>ITS 13-13</v>
      </c>
      <c r="D30" s="2">
        <v>1</v>
      </c>
      <c r="E30" s="2" t="str">
        <f t="shared" si="11"/>
        <v>13-13-1</v>
      </c>
      <c r="F30" s="3" t="s">
        <v>19</v>
      </c>
      <c r="G30" s="2">
        <v>345</v>
      </c>
      <c r="H30" s="2">
        <v>134</v>
      </c>
      <c r="I30" s="2">
        <f t="shared" si="2"/>
        <v>402</v>
      </c>
      <c r="J30" s="2">
        <f>SUMIF($C$2:$C$36,C30,$I$2:$I$36)</f>
        <v>852</v>
      </c>
      <c r="K30" s="2">
        <f t="shared" si="8"/>
        <v>11658</v>
      </c>
      <c r="L30" s="4">
        <f t="shared" si="9"/>
        <v>4022.01</v>
      </c>
      <c r="M30" s="4">
        <f>SUMIF($C$2:$C$36,C30,$L$2:$L$36)</f>
        <v>8524.26</v>
      </c>
      <c r="N30" s="2">
        <v>3682</v>
      </c>
      <c r="O30" s="2">
        <f>SUMIF($C$2:$C$36,C30,$N$2:$N$36)</f>
        <v>7364</v>
      </c>
      <c r="P30" s="5">
        <f>+L30/N30</f>
        <v>1.092343834872352</v>
      </c>
      <c r="Q30" s="2"/>
    </row>
    <row r="31" spans="1:17" x14ac:dyDescent="0.3">
      <c r="A31" s="2">
        <v>13</v>
      </c>
      <c r="B31" s="2">
        <v>13</v>
      </c>
      <c r="C31" s="2" t="str">
        <f t="shared" si="7"/>
        <v>ITS 13-13</v>
      </c>
      <c r="D31" s="2">
        <v>2</v>
      </c>
      <c r="E31" s="2" t="str">
        <f t="shared" si="11"/>
        <v>13-13-2</v>
      </c>
      <c r="F31" s="3" t="s">
        <v>19</v>
      </c>
      <c r="G31" s="2">
        <v>345</v>
      </c>
      <c r="H31" s="2">
        <v>150</v>
      </c>
      <c r="I31" s="2">
        <f t="shared" si="2"/>
        <v>450</v>
      </c>
      <c r="J31" s="2">
        <f>SUMIF($C$2:$C$36,C31,$I$2:$I$36)</f>
        <v>852</v>
      </c>
      <c r="K31" s="2">
        <f t="shared" si="8"/>
        <v>13050</v>
      </c>
      <c r="L31" s="4">
        <f t="shared" si="9"/>
        <v>4502.25</v>
      </c>
      <c r="M31" s="4">
        <f>SUMIF($C$2:$C$36,C31,$L$2:$L$36)</f>
        <v>8524.26</v>
      </c>
      <c r="N31" s="2">
        <v>3682</v>
      </c>
      <c r="O31" s="2">
        <f>SUMIF($C$2:$C$36,C31,$N$2:$N$36)</f>
        <v>7364</v>
      </c>
      <c r="P31" s="5">
        <f t="shared" ref="P31:P37" si="12">+L31/N31</f>
        <v>1.2227729494839761</v>
      </c>
      <c r="Q31" s="2"/>
    </row>
    <row r="32" spans="1:17" x14ac:dyDescent="0.3">
      <c r="A32" s="2">
        <v>14</v>
      </c>
      <c r="B32" s="2">
        <v>14</v>
      </c>
      <c r="C32" s="2" t="str">
        <f t="shared" si="7"/>
        <v>ITS 14-14</v>
      </c>
      <c r="D32" s="2">
        <v>1</v>
      </c>
      <c r="E32" s="2" t="str">
        <f t="shared" si="11"/>
        <v>14-14-1</v>
      </c>
      <c r="F32" s="3" t="s">
        <v>19</v>
      </c>
      <c r="G32" s="2">
        <v>345</v>
      </c>
      <c r="H32" s="2">
        <v>137</v>
      </c>
      <c r="I32" s="2">
        <f t="shared" si="2"/>
        <v>411</v>
      </c>
      <c r="J32" s="2">
        <f>SUMIF($C$2:$C$36,C32,$I$2:$I$36)</f>
        <v>858</v>
      </c>
      <c r="K32" s="2">
        <f t="shared" si="8"/>
        <v>11919</v>
      </c>
      <c r="L32" s="4">
        <f t="shared" si="9"/>
        <v>4112.0550000000003</v>
      </c>
      <c r="M32" s="4">
        <f>SUMIF($C$2:$C$36,C32,$L$2:$L$36)</f>
        <v>8584.2900000000009</v>
      </c>
      <c r="N32" s="2">
        <v>3682</v>
      </c>
      <c r="O32" s="2">
        <f>SUMIF($C$2:$C$36,C32,$N$2:$N$36)</f>
        <v>7364</v>
      </c>
      <c r="P32" s="5">
        <f t="shared" si="12"/>
        <v>1.1167992938620317</v>
      </c>
      <c r="Q32" s="2"/>
    </row>
    <row r="33" spans="1:17" x14ac:dyDescent="0.3">
      <c r="A33" s="2">
        <v>14</v>
      </c>
      <c r="B33" s="2">
        <v>14</v>
      </c>
      <c r="C33" s="2" t="str">
        <f t="shared" si="7"/>
        <v>ITS 14-14</v>
      </c>
      <c r="D33" s="2">
        <v>2</v>
      </c>
      <c r="E33" s="2" t="str">
        <f t="shared" si="11"/>
        <v>14-14-2</v>
      </c>
      <c r="F33" s="3" t="s">
        <v>19</v>
      </c>
      <c r="G33" s="2">
        <v>345</v>
      </c>
      <c r="H33" s="2">
        <v>149</v>
      </c>
      <c r="I33" s="2">
        <f t="shared" si="2"/>
        <v>447</v>
      </c>
      <c r="J33" s="2">
        <f>SUMIF($C$2:$C$36,C33,$I$2:$I$36)</f>
        <v>858</v>
      </c>
      <c r="K33" s="2">
        <f t="shared" si="8"/>
        <v>12963</v>
      </c>
      <c r="L33" s="4">
        <f t="shared" si="9"/>
        <v>4472.2349999999997</v>
      </c>
      <c r="M33" s="4">
        <f>SUMIF($C$2:$C$36,C33,$L$2:$L$36)</f>
        <v>8584.2900000000009</v>
      </c>
      <c r="N33" s="2">
        <v>3682</v>
      </c>
      <c r="O33" s="2">
        <f>SUMIF($C$2:$C$36,C33,$N$2:$N$36)</f>
        <v>7364</v>
      </c>
      <c r="P33" s="5">
        <f t="shared" si="12"/>
        <v>1.2146211298207494</v>
      </c>
      <c r="Q33" s="2"/>
    </row>
    <row r="34" spans="1:17" x14ac:dyDescent="0.3">
      <c r="A34" s="2">
        <v>15</v>
      </c>
      <c r="B34" s="2">
        <v>15</v>
      </c>
      <c r="C34" s="2" t="str">
        <f t="shared" si="7"/>
        <v>ITS 15-15</v>
      </c>
      <c r="D34" s="2">
        <v>1</v>
      </c>
      <c r="E34" s="2" t="str">
        <f t="shared" si="11"/>
        <v>15-15-1</v>
      </c>
      <c r="F34" s="3" t="s">
        <v>19</v>
      </c>
      <c r="G34" s="2">
        <v>345</v>
      </c>
      <c r="H34" s="2">
        <v>134</v>
      </c>
      <c r="I34" s="2">
        <f t="shared" si="2"/>
        <v>402</v>
      </c>
      <c r="J34" s="2">
        <f>SUMIF($C$2:$C$36,C34,$I$2:$I$36)</f>
        <v>828</v>
      </c>
      <c r="K34" s="2">
        <f t="shared" si="8"/>
        <v>11658</v>
      </c>
      <c r="L34" s="4">
        <f t="shared" si="9"/>
        <v>4022.01</v>
      </c>
      <c r="M34" s="4">
        <f>SUMIF($C$2:$C$36,C34,$L$2:$L$36)</f>
        <v>8342.43</v>
      </c>
      <c r="N34" s="2">
        <v>3682</v>
      </c>
      <c r="O34" s="2">
        <f>SUMIF($C$2:$C$36,C34,$N$2:$N$36)</f>
        <v>11046</v>
      </c>
      <c r="P34" s="5">
        <f t="shared" si="12"/>
        <v>1.092343834872352</v>
      </c>
      <c r="Q34" s="2"/>
    </row>
    <row r="35" spans="1:17" x14ac:dyDescent="0.3">
      <c r="A35" s="2">
        <v>15</v>
      </c>
      <c r="B35" s="2">
        <v>15</v>
      </c>
      <c r="C35" s="2" t="str">
        <f t="shared" si="7"/>
        <v>ITS 15-15</v>
      </c>
      <c r="D35" s="2">
        <v>2</v>
      </c>
      <c r="E35" s="2" t="str">
        <f t="shared" si="11"/>
        <v>15-15-2</v>
      </c>
      <c r="F35" s="3" t="s">
        <v>19</v>
      </c>
      <c r="G35" s="2">
        <v>345</v>
      </c>
      <c r="H35" s="2">
        <v>8</v>
      </c>
      <c r="I35" s="2">
        <f t="shared" si="2"/>
        <v>24</v>
      </c>
      <c r="J35" s="2">
        <f>SUMIF($C$2:$C$36,C35,$I$2:$I$36)</f>
        <v>828</v>
      </c>
      <c r="K35" s="2">
        <f t="shared" si="8"/>
        <v>696</v>
      </c>
      <c r="L35" s="4">
        <f t="shared" si="9"/>
        <v>240.12</v>
      </c>
      <c r="M35" s="4">
        <f>SUMIF($C$2:$C$36,C35,$L$2:$L$36)</f>
        <v>8342.43</v>
      </c>
      <c r="N35" s="2">
        <v>3682</v>
      </c>
      <c r="O35" s="2">
        <f>SUMIF($C$2:$C$36,C35,$N$2:$N$36)</f>
        <v>11046</v>
      </c>
      <c r="P35" s="5">
        <f t="shared" si="12"/>
        <v>6.5214557305812063E-2</v>
      </c>
      <c r="Q35" s="2"/>
    </row>
    <row r="36" spans="1:17" x14ac:dyDescent="0.3">
      <c r="A36" s="2">
        <v>15</v>
      </c>
      <c r="B36" s="2">
        <v>15</v>
      </c>
      <c r="C36" s="2" t="str">
        <f t="shared" si="7"/>
        <v>ITS 15-15</v>
      </c>
      <c r="D36" s="2">
        <v>1</v>
      </c>
      <c r="E36" s="2" t="str">
        <f t="shared" si="11"/>
        <v>15-15-1</v>
      </c>
      <c r="F36" s="3" t="s">
        <v>19</v>
      </c>
      <c r="G36" s="2">
        <v>350</v>
      </c>
      <c r="H36" s="2">
        <v>134</v>
      </c>
      <c r="I36" s="2">
        <f t="shared" ref="I36:I37" si="13">+H36*3</f>
        <v>402</v>
      </c>
      <c r="J36" s="2">
        <f>SUMIF($C$2:$C$36,C36,$I$2:$I$36)</f>
        <v>828</v>
      </c>
      <c r="K36" s="2">
        <f t="shared" si="8"/>
        <v>11658</v>
      </c>
      <c r="L36" s="4">
        <f t="shared" si="9"/>
        <v>4080.3</v>
      </c>
      <c r="M36" s="4">
        <f>SUMIF($C$2:$C$36,C36,$L$2:$L$36)</f>
        <v>8342.43</v>
      </c>
      <c r="N36" s="2">
        <v>3682</v>
      </c>
      <c r="O36" s="2">
        <f>SUMIF($C$2:$C$36,C36,$N$2:$N$36)</f>
        <v>11046</v>
      </c>
      <c r="P36" s="5">
        <f t="shared" si="12"/>
        <v>1.1081749049429659</v>
      </c>
      <c r="Q36" s="2"/>
    </row>
    <row r="37" spans="1:17" x14ac:dyDescent="0.3">
      <c r="A37" s="2">
        <v>15</v>
      </c>
      <c r="B37" s="2">
        <v>15</v>
      </c>
      <c r="C37" s="2" t="str">
        <f t="shared" si="7"/>
        <v>ITS 15-15</v>
      </c>
      <c r="D37" s="2">
        <v>2</v>
      </c>
      <c r="E37" s="2" t="str">
        <f t="shared" si="11"/>
        <v>15-15-2</v>
      </c>
      <c r="F37" s="3" t="s">
        <v>19</v>
      </c>
      <c r="G37" s="2">
        <v>350</v>
      </c>
      <c r="H37" s="2">
        <v>6</v>
      </c>
      <c r="I37" s="2">
        <f t="shared" si="13"/>
        <v>18</v>
      </c>
      <c r="J37" s="2">
        <f>SUMIF($C$2:$C$36,C37,$I$2:$I$36)</f>
        <v>828</v>
      </c>
      <c r="K37" s="2">
        <f t="shared" si="8"/>
        <v>522</v>
      </c>
      <c r="L37" s="4">
        <f t="shared" si="9"/>
        <v>182.7</v>
      </c>
      <c r="M37" s="4">
        <f>SUMIF($C$2:$C$36,C37,$L$2:$L$36)</f>
        <v>8342.43</v>
      </c>
      <c r="N37" s="2">
        <v>3682</v>
      </c>
      <c r="O37" s="2">
        <f>SUMIF($C$2:$C$36,C37,$N$2:$N$36)</f>
        <v>11046</v>
      </c>
      <c r="P37" s="5">
        <f t="shared" si="12"/>
        <v>4.9619771863117869E-2</v>
      </c>
      <c r="Q37" s="2"/>
    </row>
  </sheetData>
  <autoFilter ref="A1:Q36" xr:uid="{00000000-0009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9E5C2E017AFA74EAB45C756B7FD7572" ma:contentTypeVersion="17" ma:contentTypeDescription="Crear nuevo documento." ma:contentTypeScope="" ma:versionID="5808b4132029a641114468b1c86dcd1d">
  <xsd:schema xmlns:xsd="http://www.w3.org/2001/XMLSchema" xmlns:xs="http://www.w3.org/2001/XMLSchema" xmlns:p="http://schemas.microsoft.com/office/2006/metadata/properties" xmlns:ns2="e8a89078-bd6c-4d8d-a9ff-956999533a44" xmlns:ns3="2df2e61a-84a7-4502-8b49-29a66f1021ea" xmlns:ns4="c065a9e6-a051-4eda-ad43-f7d8dde9299a" targetNamespace="http://schemas.microsoft.com/office/2006/metadata/properties" ma:root="true" ma:fieldsID="d4ddb69d3960607df7c4fc04b444aebc" ns2:_="" ns3:_="" ns4:_="">
    <xsd:import namespace="e8a89078-bd6c-4d8d-a9ff-956999533a44"/>
    <xsd:import namespace="2df2e61a-84a7-4502-8b49-29a66f1021ea"/>
    <xsd:import namespace="c065a9e6-a051-4eda-ad43-f7d8dde929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4:SharedWithUsers" minOccurs="0"/>
                <xsd:element ref="ns4:SharedWithDetails" minOccurs="0"/>
                <xsd:element ref="ns2:MediaServiceSearchProperties" minOccurs="0"/>
                <xsd:element ref="ns2:FechayHora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a89078-bd6c-4d8d-a9ff-956999533a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5473ee77-904b-4d94-a16b-ad2218d737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FechayHora" ma:index="23" nillable="true" ma:displayName="Fecha y Hora" ma:format="DateOnly" ma:internalName="FechayHora">
      <xsd:simpleType>
        <xsd:restriction base="dms:DateTim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2e61a-84a7-4502-8b49-29a66f1021e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e73a5122-23a1-45c7-a32a-f903b1d9a81f}" ma:internalName="TaxCatchAll" ma:showField="CatchAllData" ma:web="2df2e61a-84a7-4502-8b49-29a66f1021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65a9e6-a051-4eda-ad43-f7d8dde9299a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f2e61a-84a7-4502-8b49-29a66f1021ea" xsi:nil="true"/>
    <FechayHora xmlns="e8a89078-bd6c-4d8d-a9ff-956999533a44" xsi:nil="true"/>
    <lcf76f155ced4ddcb4097134ff3c332f xmlns="e8a89078-bd6c-4d8d-a9ff-956999533a4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7CC9F5-3425-4E4C-8F2B-B555DA0A91FC}"/>
</file>

<file path=customXml/itemProps2.xml><?xml version="1.0" encoding="utf-8"?>
<ds:datastoreItem xmlns:ds="http://schemas.openxmlformats.org/officeDocument/2006/customXml" ds:itemID="{188FFA90-8989-42B2-B4C4-865E89AC431F}"/>
</file>

<file path=customXml/itemProps3.xml><?xml version="1.0" encoding="utf-8"?>
<ds:datastoreItem xmlns:ds="http://schemas.openxmlformats.org/officeDocument/2006/customXml" ds:itemID="{C40290B8-F0F5-4D70-81B3-F04FBB9708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Electrical Configuration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Gonzalez</cp:lastModifiedBy>
  <dcterms:created xsi:type="dcterms:W3CDTF">2026-09-05T00:38:20Z</dcterms:created>
  <dcterms:modified xsi:type="dcterms:W3CDTF">2026-09-15T20:44:31Z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0x01010029E5C2E017AFA74EAB45C756B7FD7572</vt:lpwstr>
  </property>
</Properties>
</file>